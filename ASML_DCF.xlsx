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CF" sheetId="2" state="visible" r:id="rId4"/>
    <sheet name="Sensitivity" sheetId="3" state="visible" r:id="rId5"/>
    <sheet name="Comp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<sst xmlns="http://schemas.openxmlformats.org/spreadsheetml/2006/main" count="212" uniqueCount="194">
  <si>
    <t xml:space="preserve">ASML DCF — assumptions</t>
  </si>
  <si>
    <t xml:space="preserve">EVERY yellow cell is a judgement, not a fact. The defaults below are anchored starting points — read each one, change it if you disagree, and write your own reason in column D. Column D is the project; the arithmetic is not.</t>
  </si>
  <si>
    <t xml:space="preserve">Assumption</t>
  </si>
  <si>
    <t xml:space="preserve">Value</t>
  </si>
  <si>
    <t xml:space="preserve">Anchor / where the default comes from</t>
  </si>
  <si>
    <t xml:space="preserve">YOUR reasoning — fill this in</t>
  </si>
  <si>
    <t xml:space="preserve">REVENUE</t>
  </si>
  <si>
    <t xml:space="preserve">2026 total net sales (€m)</t>
  </si>
  <si>
    <t xml:space="preserve">Guidance €43–45bn (Q2 2026 press release). This is the midpoint.</t>
  </si>
  <si>
    <t xml:space="preserve">Revenue growth 2027</t>
  </si>
  <si>
    <t xml:space="preserve">Capacity +30% planned for 2027. Judgement.</t>
  </si>
  <si>
    <t xml:space="preserve">Revenue growth 2028</t>
  </si>
  <si>
    <t xml:space="preserve">Judgement — deceleration assumed.</t>
  </si>
  <si>
    <t xml:space="preserve">Revenue growth 2029</t>
  </si>
  <si>
    <t xml:space="preserve">Judgement.</t>
  </si>
  <si>
    <t xml:space="preserve">Revenue growth 2030</t>
  </si>
  <si>
    <t xml:space="preserve">Judgement — maturing toward terminal.</t>
  </si>
  <si>
    <t xml:space="preserve">COSTS</t>
  </si>
  <si>
    <t xml:space="preserve">Gross margin (2026 onward)</t>
  </si>
  <si>
    <t xml:space="preserve">Guidance 54–56% for 2026. 2025 actual 52.8%.</t>
  </si>
  <si>
    <t xml:space="preserve">R&amp;D growth p.a.</t>
  </si>
  <si>
    <t xml:space="preserve">Modelled as committed spend that grows, NOT as % of sales — that is what creates operating leverage.</t>
  </si>
  <si>
    <t xml:space="preserve">SG&amp;A growth p.a.</t>
  </si>
  <si>
    <t xml:space="preserve">Same logic as R&amp;D.</t>
  </si>
  <si>
    <t xml:space="preserve">Effective tax rate</t>
  </si>
  <si>
    <t xml:space="preserve">17.7% in 2025; recent quarters ~17.5%.</t>
  </si>
  <si>
    <t xml:space="preserve">CASH</t>
  </si>
  <si>
    <t xml:space="preserve">D&amp;A as % of sales</t>
  </si>
  <si>
    <t xml:space="preserve">3y average 3.0%.</t>
  </si>
  <si>
    <t xml:space="preserve">Capex as % of sales</t>
  </si>
  <si>
    <t xml:space="preserve">2025 trough 4.8%, 2023 peak 7.8%. Capacity is being expanded 30%, so a trough level is unlikely to hold.</t>
  </si>
  <si>
    <t xml:space="preserve">Working capital as % of revenue INCREASE</t>
  </si>
  <si>
    <t xml:space="preserve">Crude. Customer prepayments (contract liabilities) partly fund growth, so this may be too high.</t>
  </si>
  <si>
    <t xml:space="preserve">DISCOUNT RATE</t>
  </si>
  <si>
    <t xml:space="preserve">Risk-free rate</t>
  </si>
  <si>
    <t xml:space="preserve">German 10y Bund, 15 Sep 2026.</t>
  </si>
  <si>
    <t xml:space="preserve">Equity risk premium</t>
  </si>
  <si>
    <t xml:space="preserve">Replace with Damodaran's current implied ERP and cite it.</t>
  </si>
  <si>
    <t xml:space="preserve">Beta (adjusted)</t>
  </si>
  <si>
    <t xml:space="preserve">Your own regression: 5y weekly vs STOXX Europe 600, Blume-adjusted. Range across indices 1.26–1.66.</t>
  </si>
  <si>
    <t xml:space="preserve">Cost of debt (pre-tax)</t>
  </si>
  <si>
    <t xml:space="preserve">Interest paid €114.5m on ~€4.4bn debt. Barely matters — see below.</t>
  </si>
  <si>
    <t xml:space="preserve">Total debt (€m)</t>
  </si>
  <si>
    <t xml:space="preserve">Short-term €1,681.9m + long-term €2,709.0m, AR2025 p.278.</t>
  </si>
  <si>
    <t xml:space="preserve">Market capitalisation (€m)</t>
  </si>
  <si>
    <t xml:space="preserve">$611.33bn ÷ 1.1543, 15 Sep 2026.</t>
  </si>
  <si>
    <t xml:space="preserve">Cost of equity</t>
  </si>
  <si>
    <t xml:space="preserve">CAPM: rf + beta x ERP</t>
  </si>
  <si>
    <t xml:space="preserve">WACC</t>
  </si>
  <si>
    <t xml:space="preserve">Debt is &lt;1% of capital, so WACC is essentially the cost of equity.</t>
  </si>
  <si>
    <t xml:space="preserve">TERMINAL VALUE</t>
  </si>
  <si>
    <t xml:space="preserve">Terminal growth rate</t>
  </si>
  <si>
    <t xml:space="preserve">Must be below long-run nominal GDP. Above 3% and you have assumed ASML becomes the world economy.</t>
  </si>
  <si>
    <t xml:space="preserve">MARKET DATA</t>
  </si>
  <si>
    <t xml:space="preserve">Net cash (€m)</t>
  </si>
  <si>
    <t xml:space="preserve">Cash €12,916.0m + ST investments €405.9m − total debt. ADDED to EV.</t>
  </si>
  <si>
    <t xml:space="preserve">Diluted shares (m)</t>
  </si>
  <si>
    <t xml:space="preserve">Q2 2026 weighted average diluted.</t>
  </si>
  <si>
    <t xml:space="preserve">Share price (€)</t>
  </si>
  <si>
    <t xml:space="preserve">$1,591.48 ÷ 1.1543, close 15 Sep 2026.</t>
  </si>
  <si>
    <t xml:space="preserve">Before you use this model, change at least three of these and write why. A model whose assumptions you did not choose is not a project.</t>
  </si>
  <si>
    <t xml:space="preserve">ASML — discounted cash flow</t>
  </si>
  <si>
    <t xml:space="preserve">€ millions. Black = formula. Green = from the Assumptions tab. Change nothing here; change Assumptions.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</si>
  <si>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</si>
  <si>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</si>
  <si>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</si>
  <si>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</si>
  <si>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</si>
  <si>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</si>
  <si>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Forecast period t</t>
  </si>
  <si>
    <t xml:space="preserve">used for discounting</t>
  </si>
  <si>
    <t xml:space="preserve">Total net sales</t>
  </si>
  <si>
    <t xml:space="preserve">2025 actual, AR2025 p.276; 2026 from guidance</t>
  </si>
  <si>
    <t xml:space="preserve">growth %</t>
  </si>
  <si>
    <t xml:space="preserve">Gross profit</t>
  </si>
  <si>
    <t xml:space="preserve">R&amp;D costs</t>
  </si>
  <si>
    <t xml:space="preserve">2025 actual €4,698.8m grown forward</t>
  </si>
  <si>
    <t xml:space="preserve">SG&amp;A costs</t>
  </si>
  <si>
    <t xml:space="preserve">2025 actual €1,257.8m grown forward</t>
  </si>
  <si>
    <t xml:space="preserve">EBIT</t>
  </si>
  <si>
    <t xml:space="preserve">EBIT margin %</t>
  </si>
  <si>
    <t xml:space="preserve">rises with revenue because R&amp;D does not track sales — that is operating leverage</t>
  </si>
  <si>
    <t xml:space="preserve">Tax on EBIT</t>
  </si>
  <si>
    <t xml:space="preserve">NOPAT</t>
  </si>
  <si>
    <t xml:space="preserve">add: D&amp;A</t>
  </si>
  <si>
    <t xml:space="preserve">less: capex</t>
  </si>
  <si>
    <t xml:space="preserve">less: working capital</t>
  </si>
  <si>
    <t xml:space="preserve">Free cash flow</t>
  </si>
  <si>
    <t xml:space="preserve">NOPAT + D&amp;A − capex − working capital</t>
  </si>
  <si>
    <t xml:space="preserve">Discount factor</t>
  </si>
  <si>
    <t xml:space="preserve">PV of free cash flow</t>
  </si>
  <si>
    <t xml:space="preserve">VALUATION</t>
  </si>
  <si>
    <t xml:space="preserve">Sum of PV, 2026–30</t>
  </si>
  <si>
    <t xml:space="preserve">Terminal value (2030, nominal)</t>
  </si>
  <si>
    <t xml:space="preserve">Gordon growth on 2030 free cash flow</t>
  </si>
  <si>
    <t xml:space="preserve">PV of terminal value</t>
  </si>
  <si>
    <t xml:space="preserve">Enterprise value</t>
  </si>
  <si>
    <t xml:space="preserve">Terminal value as % of EV</t>
  </si>
  <si>
    <t xml:space="preserve">if this is 70%+, the answer is mostly your terminal assumption</t>
  </si>
  <si>
    <t xml:space="preserve">add: net cash</t>
  </si>
  <si>
    <t xml:space="preserve">ASML has net CASH, so this is added, not subtracted</t>
  </si>
  <si>
    <t xml:space="preserve">Equity value</t>
  </si>
  <si>
    <t xml:space="preserve">Value per share (€)</t>
  </si>
  <si>
    <t xml:space="preserve">Market price (€)</t>
  </si>
  <si>
    <t xml:space="preserve">Upside / (downside)</t>
  </si>
  <si>
    <t xml:space="preserve">your recommendation, in one cell</t>
  </si>
  <si>
    <t xml:space="preserve">REVERSE DCF — what is the market already assuming?</t>
  </si>
  <si>
    <t xml:space="preserve">Solve the model backwards: hold your forecast, find the terminal growth that equals today's price.</t>
  </si>
  <si>
    <t xml:space="preserve">Market enterprise value</t>
  </si>
  <si>
    <t xml:space="preserve">Implied PV of terminal value</t>
  </si>
  <si>
    <t xml:space="preserve">Implied terminal value (nominal)</t>
  </si>
  <si>
    <t xml:space="preserve">IMPLIED terminal growth rate</t>
  </si>
  <si>
    <t xml:space="preserve">compare with long-run nominal GDP of roughly 4%. This is the headline of your note.</t>
  </si>
  <si>
    <t xml:space="preserve">Value per share (€) — WACC against terminal growth</t>
  </si>
  <si>
    <t xml:space="preserve">Each cell re-runs the whole valuation at that pair. Your base case is highlighted on the Assumptions tab.</t>
  </si>
  <si>
    <t xml:space="preserve">WACC ↓  g →</t>
  </si>
  <si>
    <t xml:space="preserve">Market price today (€)</t>
  </si>
  <si>
    <t xml:space="preserve">Read it this way: if no pair in this grid reaches the market price, the market is not using a discounted cash flow at all — or is assuming growth your forecast does not contain.</t>
  </si>
  <si>
    <t xml:space="preserve">Trading comparables — the sanity check</t>
  </si>
  <si>
    <t xml:space="preserve">STALE: dated 8 May 2026, secondary source. Refresh before you use these, and add Tokyo Electron and ASM International.</t>
  </si>
  <si>
    <t xml:space="preserve">Company</t>
  </si>
  <si>
    <t xml:space="preserve">P/E</t>
  </si>
  <si>
    <t xml:space="preserve">P/S</t>
  </si>
  <si>
    <t xml:space="preserve">EV/EBITDA</t>
  </si>
  <si>
    <t xml:space="preserve">Market cap ($bn)</t>
  </si>
  <si>
    <t xml:space="preserve">ASML</t>
  </si>
  <si>
    <t xml:space="preserve">Lam Research</t>
  </si>
  <si>
    <t xml:space="preserve">Applied Materials</t>
  </si>
  <si>
    <t xml:space="preserve">KLA</t>
  </si>
  <si>
    <t xml:space="preserve">Tokyo Electron</t>
  </si>
  <si>
    <t xml:space="preserve">ASM International</t>
  </si>
  <si>
    <t xml:space="preserve">ASML's own implied multiples, from this model:</t>
  </si>
  <si>
    <t xml:space="preserve">EV / 2026E EBITDA</t>
  </si>
  <si>
    <t xml:space="preserve">EV / 2026E sales</t>
  </si>
  <si>
    <t xml:space="preserve">A monopoly deserves a premium to peers. Say how big a premium you think is justified, and why — that is the argument, not the table.</t>
  </si>
  <si>
    <t xml:space="preserve">Every hard number and where it came from</t>
  </si>
  <si>
    <t xml:space="preserve">Item</t>
  </si>
  <si>
    <t xml:space="preserve">Source</t>
  </si>
  <si>
    <t xml:space="preserve">Date</t>
  </si>
  <si>
    <t xml:space="preserve">2025 total net sales</t>
  </si>
  <si>
    <t xml:space="preserve">€32,667.3m</t>
  </si>
  <si>
    <t xml:space="preserve">ASML Annual Report 2025 (US GAAP), p.276</t>
  </si>
  <si>
    <t xml:space="preserve">FY2025</t>
  </si>
  <si>
    <t xml:space="preserve">2025 gross profit</t>
  </si>
  <si>
    <t xml:space="preserve">€17,258.0m</t>
  </si>
  <si>
    <t xml:space="preserve">AR2025 p.276</t>
  </si>
  <si>
    <t xml:space="preserve">2025 R&amp;D / SG&amp;A</t>
  </si>
  <si>
    <t xml:space="preserve">€4,698.8m / €1,257.8m</t>
  </si>
  <si>
    <t xml:space="preserve">2025 D&amp;A</t>
  </si>
  <si>
    <t xml:space="preserve">€1,025.9m</t>
  </si>
  <si>
    <t xml:space="preserve">AR2025 p.281</t>
  </si>
  <si>
    <t xml:space="preserve">2025 capex (PP&amp;E)</t>
  </si>
  <si>
    <t xml:space="preserve">€1,573.6m</t>
  </si>
  <si>
    <t xml:space="preserve">Cash + ST investments</t>
  </si>
  <si>
    <t xml:space="preserve">€13,321.9m</t>
  </si>
  <si>
    <t xml:space="preserve">AR2025 p.278</t>
  </si>
  <si>
    <t xml:space="preserve">31 Dec 2025</t>
  </si>
  <si>
    <t xml:space="preserve">Total debt</t>
  </si>
  <si>
    <t xml:space="preserve">€4,390.9m</t>
  </si>
  <si>
    <t xml:space="preserve">H1 2026 net sales</t>
  </si>
  <si>
    <t xml:space="preserve">€18,093.4m</t>
  </si>
  <si>
    <t xml:space="preserve">Q2 2026 quarterly summary (US GAAP)</t>
  </si>
  <si>
    <t xml:space="preserve">H1 2026</t>
  </si>
  <si>
    <t xml:space="preserve">Diluted shares</t>
  </si>
  <si>
    <t xml:space="preserve">384.9m</t>
  </si>
  <si>
    <t xml:space="preserve">Q2 2026 quarterly summary</t>
  </si>
  <si>
    <t xml:space="preserve">Q2 2026</t>
  </si>
  <si>
    <t xml:space="preserve">FY2026 guidance</t>
  </si>
  <si>
    <t xml:space="preserve">€43–45bn, GM 54–56%</t>
  </si>
  <si>
    <t xml:space="preserve">ASML Q2 2026 press release</t>
  </si>
  <si>
    <t xml:space="preserve">15 Jul 2026</t>
  </si>
  <si>
    <t xml:space="preserve">Q3 2026 guidance</t>
  </si>
  <si>
    <t xml:space="preserve">€11.0–12.0bn, GM 55–57%</t>
  </si>
  <si>
    <t xml:space="preserve">2027 EUV capacity plan</t>
  </si>
  <si>
    <t xml:space="preserve">~65 units in 2026, +30% for 2027</t>
  </si>
  <si>
    <t xml:space="preserve">German 10y Bund</t>
  </si>
  <si>
    <t xml:space="preserve">3.58%</t>
  </si>
  <si>
    <t xml:space="preserve">thetrading.tools (Bundesbank data)</t>
  </si>
  <si>
    <t xml:space="preserve">15 Sep 2026</t>
  </si>
  <si>
    <t xml:space="preserve">EUR/USD</t>
  </si>
  <si>
    <t xml:space="preserve">1.1543</t>
  </si>
  <si>
    <t xml:space="preserve">Trading Economics</t>
  </si>
  <si>
    <t xml:space="preserve">ASML price / market cap</t>
  </si>
  <si>
    <t xml:space="preserve">$1,591.48 / $611.33bn</t>
  </si>
  <si>
    <t xml:space="preserve">stockanalysis.com</t>
  </si>
  <si>
    <t xml:space="preserve">1.45</t>
  </si>
  <si>
    <t xml:space="preserve">Own regression, 5y weekly vs STOXX Europe 600, Blume-adjusted</t>
  </si>
  <si>
    <t xml:space="preserve">5.0%</t>
  </si>
  <si>
    <t xml:space="preserve">PLACEHOLDER — replace with Damodaran's current implied ERP</t>
  </si>
  <si>
    <t xml:space="preserve">—</t>
  </si>
  <si>
    <t xml:space="preserve">Peer multiples</t>
  </si>
  <si>
    <t xml:space="preserve">see Comps tab</t>
  </si>
  <si>
    <t xml:space="preserve">Secondary source — STALE, refresh</t>
  </si>
  <si>
    <t xml:space="preserve">8 May 2026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</si>
</sst>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;\(#,##0.0\);\-"/>
    <numFmt numFmtId="166" formatCode="0.0%"/>
    <numFmt numFmtId="167" formatCode="0.00"/>
    <numFmt numFmtId="168" formatCode="#,##0.0"/>
    <numFmt numFmtId="169" formatCode="#,##0.00"/>
    <numFmt numFmtId="170" formatCode="#,##0"/>
    <numFmt numFmtId="171" formatCode="0.000"/>
    <numFmt numFmtId="172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4" min="4" style="0" width="4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5"/>
      <c r="D5" s="5"/>
    </row>
    <row r="6" customFormat="false" ht="15" hidden="false" customHeight="false" outlineLevel="0" collapsed="false">
      <c r="A6" s="6" t="s">
        <v>7</v>
      </c>
      <c r="B6" s="7" t="n">
        <v>44000</v>
      </c>
      <c r="C6" s="2" t="s">
        <v>8</v>
      </c>
    </row>
    <row r="7" customFormat="false" ht="15" hidden="false" customHeight="false" outlineLevel="0" collapsed="false">
      <c r="A7" s="6" t="s">
        <v>9</v>
      </c>
      <c r="B7" s="8" t="n">
        <v>0.15</v>
      </c>
      <c r="C7" s="2" t="s">
        <v>10</v>
      </c>
    </row>
    <row r="8" customFormat="false" ht="15" hidden="false" customHeight="false" outlineLevel="0" collapsed="false">
      <c r="A8" s="6" t="s">
        <v>11</v>
      </c>
      <c r="B8" s="8" t="n">
        <v>0.1</v>
      </c>
      <c r="C8" s="2" t="s">
        <v>12</v>
      </c>
    </row>
    <row r="9" customFormat="false" ht="15" hidden="false" customHeight="false" outlineLevel="0" collapsed="false">
      <c r="A9" s="6" t="s">
        <v>13</v>
      </c>
      <c r="B9" s="8" t="n">
        <v>0.07</v>
      </c>
      <c r="C9" s="2" t="s">
        <v>14</v>
      </c>
    </row>
    <row r="10" customFormat="false" ht="15" hidden="false" customHeight="false" outlineLevel="0" collapsed="false">
      <c r="A10" s="6" t="s">
        <v>15</v>
      </c>
      <c r="B10" s="8" t="n">
        <v>0.05</v>
      </c>
      <c r="C10" s="2" t="s">
        <v>16</v>
      </c>
    </row>
    <row r="11" customFormat="false" ht="15" hidden="false" customHeight="false" outlineLevel="0" collapsed="false">
      <c r="A11" s="4" t="s">
        <v>17</v>
      </c>
      <c r="B11" s="5"/>
      <c r="C11" s="5"/>
      <c r="D11" s="5"/>
    </row>
    <row r="12" customFormat="false" ht="15" hidden="false" customHeight="false" outlineLevel="0" collapsed="false">
      <c r="A12" s="6" t="s">
        <v>18</v>
      </c>
      <c r="B12" s="8" t="n">
        <v>0.55</v>
      </c>
      <c r="C12" s="2" t="s">
        <v>19</v>
      </c>
    </row>
    <row r="13" customFormat="false" ht="15" hidden="false" customHeight="false" outlineLevel="0" collapsed="false">
      <c r="A13" s="6" t="s">
        <v>20</v>
      </c>
      <c r="B13" s="8" t="n">
        <v>0.08</v>
      </c>
      <c r="C13" s="2" t="s">
        <v>21</v>
      </c>
    </row>
    <row r="14" customFormat="false" ht="15" hidden="false" customHeight="false" outlineLevel="0" collapsed="false">
      <c r="A14" s="6" t="s">
        <v>22</v>
      </c>
      <c r="B14" s="8" t="n">
        <v>0.08</v>
      </c>
      <c r="C14" s="2" t="s">
        <v>23</v>
      </c>
    </row>
    <row r="15" customFormat="false" ht="15" hidden="false" customHeight="false" outlineLevel="0" collapsed="false">
      <c r="A15" s="6" t="s">
        <v>24</v>
      </c>
      <c r="B15" s="8" t="n">
        <v>0.175</v>
      </c>
      <c r="C15" s="2" t="s">
        <v>25</v>
      </c>
    </row>
    <row r="16" customFormat="false" ht="15" hidden="false" customHeight="false" outlineLevel="0" collapsed="false">
      <c r="A16" s="4" t="s">
        <v>26</v>
      </c>
      <c r="B16" s="5"/>
      <c r="C16" s="5"/>
      <c r="D16" s="5"/>
    </row>
    <row r="17" customFormat="false" ht="15" hidden="false" customHeight="false" outlineLevel="0" collapsed="false">
      <c r="A17" s="6" t="s">
        <v>27</v>
      </c>
      <c r="B17" s="8" t="n">
        <v>0.03</v>
      </c>
      <c r="C17" s="2" t="s">
        <v>28</v>
      </c>
    </row>
    <row r="18" customFormat="false" ht="15" hidden="false" customHeight="false" outlineLevel="0" collapsed="false">
      <c r="A18" s="6" t="s">
        <v>29</v>
      </c>
      <c r="B18" s="8" t="n">
        <v>0.06</v>
      </c>
      <c r="C18" s="2" t="s">
        <v>30</v>
      </c>
    </row>
    <row r="19" customFormat="false" ht="15" hidden="false" customHeight="false" outlineLevel="0" collapsed="false">
      <c r="A19" s="6" t="s">
        <v>31</v>
      </c>
      <c r="B19" s="8" t="n">
        <v>0.1</v>
      </c>
      <c r="C19" s="2" t="s">
        <v>32</v>
      </c>
    </row>
    <row r="20" customFormat="false" ht="15" hidden="false" customHeight="false" outlineLevel="0" collapsed="false">
      <c r="A20" s="4" t="s">
        <v>33</v>
      </c>
      <c r="B20" s="5"/>
      <c r="C20" s="5"/>
      <c r="D20" s="5"/>
    </row>
    <row r="21" customFormat="false" ht="15" hidden="false" customHeight="false" outlineLevel="0" collapsed="false">
      <c r="A21" s="6" t="s">
        <v>34</v>
      </c>
      <c r="B21" s="8" t="n">
        <v>0.0358</v>
      </c>
      <c r="C21" s="2" t="s">
        <v>35</v>
      </c>
    </row>
    <row r="22" customFormat="false" ht="15" hidden="false" customHeight="false" outlineLevel="0" collapsed="false">
      <c r="A22" s="6" t="s">
        <v>36</v>
      </c>
      <c r="B22" s="8" t="n">
        <v>0.05</v>
      </c>
      <c r="C22" s="2" t="s">
        <v>37</v>
      </c>
    </row>
    <row r="23" customFormat="false" ht="15" hidden="false" customHeight="false" outlineLevel="0" collapsed="false">
      <c r="A23" s="6" t="s">
        <v>38</v>
      </c>
      <c r="B23" s="9" t="n">
        <v>1.45</v>
      </c>
      <c r="C23" s="2" t="s">
        <v>39</v>
      </c>
    </row>
    <row r="24" customFormat="false" ht="15" hidden="false" customHeight="false" outlineLevel="0" collapsed="false">
      <c r="A24" s="6" t="s">
        <v>40</v>
      </c>
      <c r="B24" s="8" t="n">
        <v>0.03</v>
      </c>
      <c r="C24" s="2" t="s">
        <v>41</v>
      </c>
    </row>
    <row r="25" customFormat="false" ht="15" hidden="false" customHeight="false" outlineLevel="0" collapsed="false">
      <c r="A25" s="6" t="s">
        <v>42</v>
      </c>
      <c r="B25" s="7" t="n">
        <v>4390.9</v>
      </c>
      <c r="C25" s="2" t="s">
        <v>43</v>
      </c>
    </row>
    <row r="26" customFormat="false" ht="15" hidden="false" customHeight="false" outlineLevel="0" collapsed="false">
      <c r="A26" s="6" t="s">
        <v>44</v>
      </c>
      <c r="B26" s="7" t="n">
        <v>529600</v>
      </c>
      <c r="C26" s="2" t="s">
        <v>45</v>
      </c>
    </row>
    <row r="27" customFormat="false" ht="15" hidden="false" customHeight="false" outlineLevel="0" collapsed="false">
      <c r="A27" s="10" t="s">
        <v>46</v>
      </c>
      <c r="B27" s="11" t="n">
        <f aca="false">Assumptions!$B$21+Assumptions!$B$23*Assumptions!$B$22</f>
        <v>0.1083</v>
      </c>
      <c r="C27" s="2" t="s">
        <v>47</v>
      </c>
    </row>
    <row r="28" customFormat="false" ht="15" hidden="false" customHeight="false" outlineLevel="0" collapsed="false">
      <c r="A28" s="10" t="s">
        <v>48</v>
      </c>
      <c r="B28" s="11" t="n">
        <f aca="false">(Assumptions!$B$26/(Assumptions!$B$26+Assumptions!$B$25))*Assumptions!$B$27+(Assumptions!$B$25/(Assumptions!$B$26+Assumptions!$B$25))*Assumptions!$B$24*(1-Assumptions!$B$15)</f>
        <v>0.107612985118286</v>
      </c>
      <c r="C28" s="2" t="s">
        <v>49</v>
      </c>
    </row>
    <row r="29" customFormat="false" ht="15" hidden="false" customHeight="false" outlineLevel="0" collapsed="false">
      <c r="A29" s="4" t="s">
        <v>50</v>
      </c>
      <c r="B29" s="5"/>
      <c r="C29" s="5"/>
      <c r="D29" s="5"/>
    </row>
    <row r="30" customFormat="false" ht="15" hidden="false" customHeight="false" outlineLevel="0" collapsed="false">
      <c r="A30" s="6" t="s">
        <v>51</v>
      </c>
      <c r="B30" s="8" t="n">
        <v>0.02</v>
      </c>
      <c r="C30" s="2" t="s">
        <v>52</v>
      </c>
    </row>
    <row r="31" customFormat="false" ht="15" hidden="false" customHeight="false" outlineLevel="0" collapsed="false">
      <c r="A31" s="4" t="s">
        <v>53</v>
      </c>
      <c r="B31" s="5"/>
      <c r="C31" s="5"/>
      <c r="D31" s="5"/>
    </row>
    <row r="32" customFormat="false" ht="15" hidden="false" customHeight="false" outlineLevel="0" collapsed="false">
      <c r="A32" s="6" t="s">
        <v>54</v>
      </c>
      <c r="B32" s="7" t="n">
        <v>8931</v>
      </c>
      <c r="C32" s="2" t="s">
        <v>55</v>
      </c>
    </row>
    <row r="33" customFormat="false" ht="15" hidden="false" customHeight="false" outlineLevel="0" collapsed="false">
      <c r="A33" s="6" t="s">
        <v>56</v>
      </c>
      <c r="B33" s="12" t="n">
        <v>384.9</v>
      </c>
      <c r="C33" s="2" t="s">
        <v>57</v>
      </c>
    </row>
    <row r="34" customFormat="false" ht="15" hidden="false" customHeight="false" outlineLevel="0" collapsed="false">
      <c r="A34" s="6" t="s">
        <v>58</v>
      </c>
      <c r="B34" s="13" t="n">
        <v>1379</v>
      </c>
      <c r="C34" s="2" t="s">
        <v>59</v>
      </c>
    </row>
    <row r="36" customFormat="false" ht="15" hidden="false" customHeight="false" outlineLevel="0" collapsed="false">
      <c r="A36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2"/>
    <col collapsed="false" customWidth="true" hidden="false" outlineLevel="0" max="8" min="8" style="0" width="3"/>
    <col collapsed="false" customWidth="true" hidden="false" outlineLevel="0" max="9" min="9" style="0" width="58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B4" s="14" t="s">
        <v>63</v>
      </c>
      <c r="C4" s="14" t="s">
        <v>64</v>
      </c>
      <c r="D4" s="14" t="s">
        <v>65</v>
      </c>
      <c r="E4" s="14" t="s">
        <v>66</v>
      </c>
      <c r="F4" s="14" t="s">
        <v>67</v>
      </c>
      <c r="G4" s="14" t="s">
        <v>68</v>
      </c>
    </row>
    <row r="5" customFormat="false" ht="15" hidden="false" customHeight="false" outlineLevel="0" collapsed="false">
      <c r="A5" s="6" t="s">
        <v>69</v>
      </c>
      <c r="B5" s="15" t="n">
        <v>0</v>
      </c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I5" s="2" t="s">
        <v>70</v>
      </c>
    </row>
    <row r="6" customFormat="false" ht="15" hidden="false" customHeight="false" outlineLevel="0" collapsed="false">
      <c r="A6" s="10" t="s">
        <v>71</v>
      </c>
      <c r="B6" s="16" t="n">
        <f aca="false">32667.3</f>
        <v>32667.3</v>
      </c>
      <c r="C6" s="16" t="n">
        <f aca="false">Assumptions!$B$6</f>
        <v>44000</v>
      </c>
      <c r="D6" s="16" t="n">
        <f aca="false">C6*(1+Assumptions!$B$7)</f>
        <v>50600</v>
      </c>
      <c r="E6" s="16" t="n">
        <f aca="false">D6*(1+Assumptions!$B$8)</f>
        <v>55660</v>
      </c>
      <c r="F6" s="16" t="n">
        <f aca="false">E6*(1+Assumptions!$B$9)</f>
        <v>59556.2</v>
      </c>
      <c r="G6" s="16" t="n">
        <f aca="false">F6*(1+Assumptions!$B$10)</f>
        <v>62534.01</v>
      </c>
      <c r="I6" s="2" t="s">
        <v>72</v>
      </c>
    </row>
    <row r="7" customFormat="false" ht="15" hidden="false" customHeight="false" outlineLevel="0" collapsed="false">
      <c r="A7" s="6" t="s">
        <v>73</v>
      </c>
      <c r="C7" s="11" t="n">
        <f aca="false">C6/B6-1</f>
        <v>0.346912661897371</v>
      </c>
      <c r="D7" s="11" t="n">
        <f aca="false">D6/C6-1</f>
        <v>0.15</v>
      </c>
      <c r="E7" s="11" t="n">
        <f aca="false">E6/D6-1</f>
        <v>0.1</v>
      </c>
      <c r="F7" s="11" t="n">
        <f aca="false">F6/E6-1</f>
        <v>0.0700000000000001</v>
      </c>
      <c r="G7" s="11" t="n">
        <f aca="false">G6/F6-1</f>
        <v>0.05</v>
      </c>
    </row>
    <row r="8" customFormat="false" ht="15" hidden="false" customHeight="false" outlineLevel="0" collapsed="false">
      <c r="A8" s="6" t="s">
        <v>74</v>
      </c>
      <c r="C8" s="17" t="n">
        <f aca="false">C6*Assumptions!$B$12</f>
        <v>24200</v>
      </c>
      <c r="D8" s="17" t="n">
        <f aca="false">D6*Assumptions!$B$12</f>
        <v>27830</v>
      </c>
      <c r="E8" s="17" t="n">
        <f aca="false">E6*Assumptions!$B$12</f>
        <v>30613</v>
      </c>
      <c r="F8" s="17" t="n">
        <f aca="false">F6*Assumptions!$B$12</f>
        <v>32755.91</v>
      </c>
      <c r="G8" s="17" t="n">
        <f aca="false">G6*Assumptions!$B$12</f>
        <v>34393.7055</v>
      </c>
    </row>
    <row r="9" customFormat="false" ht="15" hidden="false" customHeight="false" outlineLevel="0" collapsed="false">
      <c r="A9" s="6" t="s">
        <v>75</v>
      </c>
      <c r="C9" s="17" t="n">
        <f aca="false">-4698.8*(1+Assumptions!$B$13)^1</f>
        <v>-5074.704</v>
      </c>
      <c r="D9" s="17" t="n">
        <f aca="false">-4698.8*(1+Assumptions!$B$13)^2</f>
        <v>-5480.68032</v>
      </c>
      <c r="E9" s="17" t="n">
        <f aca="false">-4698.8*(1+Assumptions!$B$13)^3</f>
        <v>-5919.1347456</v>
      </c>
      <c r="F9" s="17" t="n">
        <f aca="false">-4698.8*(1+Assumptions!$B$13)^4</f>
        <v>-6392.665525248</v>
      </c>
      <c r="G9" s="17" t="n">
        <f aca="false">-4698.8*(1+Assumptions!$B$13)^5</f>
        <v>-6904.07876726784</v>
      </c>
      <c r="I9" s="2" t="s">
        <v>76</v>
      </c>
    </row>
    <row r="10" customFormat="false" ht="15" hidden="false" customHeight="false" outlineLevel="0" collapsed="false">
      <c r="A10" s="6" t="s">
        <v>77</v>
      </c>
      <c r="C10" s="17" t="n">
        <f aca="false">-1257.8*(1+Assumptions!$B$14)^1</f>
        <v>-1358.424</v>
      </c>
      <c r="D10" s="17" t="n">
        <f aca="false">-1257.8*(1+Assumptions!$B$14)^2</f>
        <v>-1467.09792</v>
      </c>
      <c r="E10" s="17" t="n">
        <f aca="false">-1257.8*(1+Assumptions!$B$14)^3</f>
        <v>-1584.4657536</v>
      </c>
      <c r="F10" s="17" t="n">
        <f aca="false">-1257.8*(1+Assumptions!$B$14)^4</f>
        <v>-1711.223013888</v>
      </c>
      <c r="G10" s="17" t="n">
        <f aca="false">-1257.8*(1+Assumptions!$B$14)^5</f>
        <v>-1848.12085499904</v>
      </c>
      <c r="I10" s="2" t="s">
        <v>78</v>
      </c>
    </row>
    <row r="11" customFormat="false" ht="15" hidden="false" customHeight="false" outlineLevel="0" collapsed="false">
      <c r="A11" s="10" t="s">
        <v>79</v>
      </c>
      <c r="C11" s="16" t="n">
        <f aca="false">C8+C9+C10</f>
        <v>17766.872</v>
      </c>
      <c r="D11" s="16" t="n">
        <f aca="false">D8+D9+D10</f>
        <v>20882.22176</v>
      </c>
      <c r="E11" s="16" t="n">
        <f aca="false">E8+E9+E10</f>
        <v>23109.3995008</v>
      </c>
      <c r="F11" s="16" t="n">
        <f aca="false">F8+F9+F10</f>
        <v>24652.021460864</v>
      </c>
      <c r="G11" s="16" t="n">
        <f aca="false">G8+G9+G10</f>
        <v>25641.5058777331</v>
      </c>
    </row>
    <row r="12" customFormat="false" ht="15" hidden="false" customHeight="false" outlineLevel="0" collapsed="false">
      <c r="A12" s="6" t="s">
        <v>80</v>
      </c>
      <c r="C12" s="11" t="n">
        <f aca="false">C11/C6</f>
        <v>0.403792545454546</v>
      </c>
      <c r="D12" s="11" t="n">
        <f aca="false">D11/D6</f>
        <v>0.412692129644269</v>
      </c>
      <c r="E12" s="11" t="n">
        <f aca="false">E11/E6</f>
        <v>0.415188636378009</v>
      </c>
      <c r="F12" s="11" t="n">
        <f aca="false">F11/F6</f>
        <v>0.413928717091823</v>
      </c>
      <c r="G12" s="11" t="n">
        <f aca="false">G11/G6</f>
        <v>0.410040966151589</v>
      </c>
      <c r="I12" s="2" t="s">
        <v>81</v>
      </c>
    </row>
    <row r="13" customFormat="false" ht="15" hidden="false" customHeight="false" outlineLevel="0" collapsed="false">
      <c r="A13" s="6" t="s">
        <v>82</v>
      </c>
      <c r="C13" s="17" t="n">
        <f aca="false">-C11*Assumptions!$B$15</f>
        <v>-3109.2026</v>
      </c>
      <c r="D13" s="17" t="n">
        <f aca="false">-D11*Assumptions!$B$15</f>
        <v>-3654.388808</v>
      </c>
      <c r="E13" s="17" t="n">
        <f aca="false">-E11*Assumptions!$B$15</f>
        <v>-4044.14491264</v>
      </c>
      <c r="F13" s="17" t="n">
        <f aca="false">-F11*Assumptions!$B$15</f>
        <v>-4314.1037556512</v>
      </c>
      <c r="G13" s="17" t="n">
        <f aca="false">-G11*Assumptions!$B$15</f>
        <v>-4487.2635286033</v>
      </c>
    </row>
    <row r="14" customFormat="false" ht="15" hidden="false" customHeight="false" outlineLevel="0" collapsed="false">
      <c r="A14" s="10" t="s">
        <v>83</v>
      </c>
      <c r="C14" s="16" t="n">
        <f aca="false">C11+C13</f>
        <v>14657.6694</v>
      </c>
      <c r="D14" s="16" t="n">
        <f aca="false">D11+D13</f>
        <v>17227.832952</v>
      </c>
      <c r="E14" s="16" t="n">
        <f aca="false">E11+E13</f>
        <v>19065.25458816</v>
      </c>
      <c r="F14" s="16" t="n">
        <f aca="false">F11+F13</f>
        <v>20337.9177052128</v>
      </c>
      <c r="G14" s="16" t="n">
        <f aca="false">G11+G13</f>
        <v>21154.2423491298</v>
      </c>
    </row>
    <row r="15" customFormat="false" ht="15" hidden="false" customHeight="false" outlineLevel="0" collapsed="false">
      <c r="A15" s="6" t="s">
        <v>84</v>
      </c>
      <c r="C15" s="17" t="n">
        <f aca="false">C6*Assumptions!$B$17</f>
        <v>1320</v>
      </c>
      <c r="D15" s="17" t="n">
        <f aca="false">D6*Assumptions!$B$17</f>
        <v>1518</v>
      </c>
      <c r="E15" s="17" t="n">
        <f aca="false">E6*Assumptions!$B$17</f>
        <v>1669.8</v>
      </c>
      <c r="F15" s="17" t="n">
        <f aca="false">F6*Assumptions!$B$17</f>
        <v>1786.686</v>
      </c>
      <c r="G15" s="17" t="n">
        <f aca="false">G6*Assumptions!$B$17</f>
        <v>1876.0203</v>
      </c>
    </row>
    <row r="16" customFormat="false" ht="15" hidden="false" customHeight="false" outlineLevel="0" collapsed="false">
      <c r="A16" s="6" t="s">
        <v>85</v>
      </c>
      <c r="C16" s="17" t="n">
        <f aca="false">-C6*Assumptions!$B$18</f>
        <v>-2640</v>
      </c>
      <c r="D16" s="17" t="n">
        <f aca="false">-D6*Assumptions!$B$18</f>
        <v>-3036</v>
      </c>
      <c r="E16" s="17" t="n">
        <f aca="false">-E6*Assumptions!$B$18</f>
        <v>-3339.6</v>
      </c>
      <c r="F16" s="17" t="n">
        <f aca="false">-F6*Assumptions!$B$18</f>
        <v>-3573.372</v>
      </c>
      <c r="G16" s="17" t="n">
        <f aca="false">-G6*Assumptions!$B$18</f>
        <v>-3752.0406</v>
      </c>
    </row>
    <row r="17" customFormat="false" ht="15" hidden="false" customHeight="false" outlineLevel="0" collapsed="false">
      <c r="A17" s="6" t="s">
        <v>86</v>
      </c>
      <c r="C17" s="17" t="n">
        <f aca="false">-(C6-B6)*Assumptions!$B$19</f>
        <v>-1133.27</v>
      </c>
      <c r="D17" s="17" t="n">
        <f aca="false">-(D6-C6)*Assumptions!$B$19</f>
        <v>-659.999999999999</v>
      </c>
      <c r="E17" s="17" t="n">
        <f aca="false">-(E6-D6)*Assumptions!$B$19</f>
        <v>-506.000000000001</v>
      </c>
      <c r="F17" s="17" t="n">
        <f aca="false">-(F6-E6)*Assumptions!$B$19</f>
        <v>-389.62</v>
      </c>
      <c r="G17" s="17" t="n">
        <f aca="false">-(G6-F6)*Assumptions!$B$19</f>
        <v>-297.781000000001</v>
      </c>
    </row>
    <row r="18" customFormat="false" ht="15" hidden="false" customHeight="false" outlineLevel="0" collapsed="false">
      <c r="A18" s="10" t="s">
        <v>87</v>
      </c>
      <c r="C18" s="18" t="n">
        <f aca="false">C14+C15+C16+C17</f>
        <v>12204.3994</v>
      </c>
      <c r="D18" s="18" t="n">
        <f aca="false">D14+D15+D16+D17</f>
        <v>15049.832952</v>
      </c>
      <c r="E18" s="18" t="n">
        <f aca="false">E14+E15+E16+E17</f>
        <v>16889.45458816</v>
      </c>
      <c r="F18" s="18" t="n">
        <f aca="false">F14+F15+F16+F17</f>
        <v>18161.6117052128</v>
      </c>
      <c r="G18" s="18" t="n">
        <f aca="false">G14+G15+G16+G17</f>
        <v>18980.4410491298</v>
      </c>
      <c r="I18" s="2" t="s">
        <v>88</v>
      </c>
    </row>
    <row r="19" customFormat="false" ht="15" hidden="false" customHeight="false" outlineLevel="0" collapsed="false">
      <c r="A19" s="6" t="s">
        <v>89</v>
      </c>
      <c r="C19" s="19" t="n">
        <f aca="false">1/(1+Assumptions!$B$28)^C5</f>
        <v>0.902842430917517</v>
      </c>
      <c r="D19" s="19" t="n">
        <f aca="false">1/(1+Assumptions!$B$28)^D5</f>
        <v>0.815124455065051</v>
      </c>
      <c r="E19" s="19" t="n">
        <f aca="false">1/(1+Assumptions!$B$28)^E5</f>
        <v>0.735928944511246</v>
      </c>
      <c r="F19" s="19" t="n">
        <f aca="false">1/(1+Assumptions!$B$28)^F5</f>
        <v>0.664427877245096</v>
      </c>
      <c r="G19" s="19" t="n">
        <f aca="false">1/(1+Assumptions!$B$28)^G5</f>
        <v>0.599873679861327</v>
      </c>
    </row>
    <row r="20" customFormat="false" ht="15" hidden="false" customHeight="false" outlineLevel="0" collapsed="false">
      <c r="A20" s="10" t="s">
        <v>90</v>
      </c>
      <c r="C20" s="16" t="n">
        <f aca="false">C18*C19</f>
        <v>11018.6496221843</v>
      </c>
      <c r="D20" s="16" t="n">
        <f aca="false">D18*D19</f>
        <v>12267.486883819</v>
      </c>
      <c r="E20" s="16" t="n">
        <f aca="false">E18*E19</f>
        <v>12429.4384884352</v>
      </c>
      <c r="F20" s="16" t="n">
        <f aca="false">F18*F19</f>
        <v>12067.0811126442</v>
      </c>
      <c r="G20" s="16" t="n">
        <f aca="false">G18*G19</f>
        <v>11385.8670175325</v>
      </c>
    </row>
    <row r="22" customFormat="false" ht="15" hidden="false" customHeight="false" outlineLevel="0" collapsed="false">
      <c r="A22" s="20" t="s">
        <v>91</v>
      </c>
      <c r="B22" s="21"/>
      <c r="C22" s="21"/>
    </row>
    <row r="23" customFormat="false" ht="15" hidden="false" customHeight="false" outlineLevel="0" collapsed="false">
      <c r="A23" s="6" t="s">
        <v>92</v>
      </c>
      <c r="C23" s="17" t="n">
        <f aca="false">SUM(C20:G20)</f>
        <v>59168.5231246153</v>
      </c>
    </row>
    <row r="24" customFormat="false" ht="15" hidden="false" customHeight="false" outlineLevel="0" collapsed="false">
      <c r="A24" s="6" t="s">
        <v>93</v>
      </c>
      <c r="C24" s="17" t="n">
        <f aca="false">G18*(1+Assumptions!$B$30)/(Assumptions!$B$28-Assumptions!$B$30)</f>
        <v>220972.380338081</v>
      </c>
      <c r="I24" s="2" t="s">
        <v>94</v>
      </c>
    </row>
    <row r="25" customFormat="false" ht="15" hidden="false" customHeight="false" outlineLevel="0" collapsed="false">
      <c r="A25" s="6" t="s">
        <v>95</v>
      </c>
      <c r="C25" s="17" t="n">
        <f aca="false">C24*G19</f>
        <v>132555.514941121</v>
      </c>
    </row>
    <row r="26" customFormat="false" ht="15" hidden="false" customHeight="false" outlineLevel="0" collapsed="false">
      <c r="A26" s="10" t="s">
        <v>96</v>
      </c>
      <c r="C26" s="16" t="n">
        <f aca="false">C23+C25</f>
        <v>191724.038065736</v>
      </c>
    </row>
    <row r="27" customFormat="false" ht="15" hidden="false" customHeight="false" outlineLevel="0" collapsed="false">
      <c r="A27" s="6" t="s">
        <v>97</v>
      </c>
      <c r="C27" s="11" t="n">
        <f aca="false">C25/C26</f>
        <v>0.691387038779519</v>
      </c>
      <c r="I27" s="2" t="s">
        <v>98</v>
      </c>
    </row>
    <row r="28" customFormat="false" ht="15" hidden="false" customHeight="false" outlineLevel="0" collapsed="false">
      <c r="A28" s="6" t="s">
        <v>99</v>
      </c>
      <c r="C28" s="17" t="n">
        <f aca="false">Assumptions!$B$32</f>
        <v>8931</v>
      </c>
      <c r="I28" s="2" t="s">
        <v>100</v>
      </c>
    </row>
    <row r="29" customFormat="false" ht="15" hidden="false" customHeight="false" outlineLevel="0" collapsed="false">
      <c r="A29" s="10" t="s">
        <v>101</v>
      </c>
      <c r="C29" s="16" t="n">
        <f aca="false">C26+Assumptions!$B$32</f>
        <v>200655.038065736</v>
      </c>
    </row>
    <row r="30" customFormat="false" ht="15" hidden="false" customHeight="false" outlineLevel="0" collapsed="false">
      <c r="A30" s="10" t="s">
        <v>102</v>
      </c>
      <c r="C30" s="22" t="n">
        <f aca="false">C29/Assumptions!$B$33</f>
        <v>521.317324151043</v>
      </c>
    </row>
    <row r="31" customFormat="false" ht="15" hidden="false" customHeight="false" outlineLevel="0" collapsed="false">
      <c r="A31" s="6" t="s">
        <v>103</v>
      </c>
      <c r="C31" s="23" t="n">
        <f aca="false">Assumptions!$B$34</f>
        <v>1379</v>
      </c>
    </row>
    <row r="32" customFormat="false" ht="15" hidden="false" customHeight="false" outlineLevel="0" collapsed="false">
      <c r="A32" s="10" t="s">
        <v>104</v>
      </c>
      <c r="C32" s="24" t="n">
        <f aca="false">C30/Assumptions!$B$34-1</f>
        <v>-0.621959880963711</v>
      </c>
      <c r="I32" s="2" t="s">
        <v>105</v>
      </c>
    </row>
    <row r="34" customFormat="false" ht="15" hidden="false" customHeight="false" outlineLevel="0" collapsed="false">
      <c r="A34" s="20" t="s">
        <v>106</v>
      </c>
      <c r="B34" s="21"/>
      <c r="C34" s="21"/>
      <c r="I34" s="2" t="s">
        <v>107</v>
      </c>
    </row>
    <row r="35" customFormat="false" ht="15" hidden="false" customHeight="false" outlineLevel="0" collapsed="false">
      <c r="A35" s="6" t="s">
        <v>108</v>
      </c>
      <c r="C35" s="17" t="n">
        <f aca="false">Assumptions!$B$26-Assumptions!$B$32</f>
        <v>520669</v>
      </c>
    </row>
    <row r="36" customFormat="false" ht="15" hidden="false" customHeight="false" outlineLevel="0" collapsed="false">
      <c r="A36" s="6" t="s">
        <v>109</v>
      </c>
      <c r="C36" s="17" t="n">
        <f aca="false">C35-C23</f>
        <v>461500.476875385</v>
      </c>
    </row>
    <row r="37" customFormat="false" ht="15" hidden="false" customHeight="false" outlineLevel="0" collapsed="false">
      <c r="A37" s="6" t="s">
        <v>110</v>
      </c>
      <c r="C37" s="17" t="n">
        <f aca="false">C36/G19</f>
        <v>769329.43112635</v>
      </c>
    </row>
    <row r="38" customFormat="false" ht="15" hidden="false" customHeight="false" outlineLevel="0" collapsed="false">
      <c r="A38" s="10" t="s">
        <v>111</v>
      </c>
      <c r="C38" s="24" t="n">
        <f aca="false">(C37*Assumptions!$B$28-G18)/(G18+C37)</f>
        <v>0.080944559780326</v>
      </c>
      <c r="I38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2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15" hidden="false" customHeight="false" outlineLevel="0" collapsed="false">
      <c r="A4" s="10" t="s">
        <v>115</v>
      </c>
      <c r="B4" s="25" t="n">
        <v>0.01</v>
      </c>
      <c r="C4" s="25" t="n">
        <v>0.015</v>
      </c>
      <c r="D4" s="25" t="n">
        <v>0.02</v>
      </c>
      <c r="E4" s="25" t="n">
        <v>0.025</v>
      </c>
      <c r="F4" s="25" t="n">
        <v>0.03</v>
      </c>
    </row>
    <row r="5" customFormat="false" ht="15" hidden="false" customHeight="false" outlineLevel="0" collapsed="false">
      <c r="A5" s="24" t="n">
        <v>0.085</v>
      </c>
      <c r="B5" s="15" t="n">
        <f aca="false">(SUMPRODUCT(DCF!$C$18:$G$18,(1+$A5)^-DCF!$C$5:$G$5)+DCF!$G$18*(1+B$4)/($A5-B$4)/(1+$A5)^5+Assumptions!$B$32)/Assumptions!$B$33</f>
        <v>628.479967493919</v>
      </c>
      <c r="C5" s="15" t="n">
        <f aca="false">(SUMPRODUCT(DCF!$C$18:$G$18,(1+$A5)^-DCF!$C$5:$G$5)+DCF!$G$18*(1+C$4)/($A5-C$4)/(1+$A5)^5+Assumptions!$B$32)/Assumptions!$B$33</f>
        <v>662.368295111768</v>
      </c>
      <c r="D5" s="15" t="n">
        <f aca="false">(SUMPRODUCT(DCF!$C$18:$G$18,(1+$A5)^-DCF!$C$5:$G$5)+DCF!$G$18*(1+D$4)/($A5-D$4)/(1+$A5)^5+Assumptions!$B$32)/Assumptions!$B$33</f>
        <v>701.470211593903</v>
      </c>
      <c r="E5" s="15" t="n">
        <f aca="false">(SUMPRODUCT(DCF!$C$18:$G$18,(1+$A5)^-DCF!$C$5:$G$5)+DCF!$G$18*(1+E$4)/($A5-E$4)/(1+$A5)^5+Assumptions!$B$32)/Assumptions!$B$33</f>
        <v>747.089114156393</v>
      </c>
      <c r="F5" s="15" t="n">
        <f aca="false">(SUMPRODUCT(DCF!$C$18:$G$18,(1+$A5)^-DCF!$C$5:$G$5)+DCF!$G$18*(1+F$4)/($A5-F$4)/(1+$A5)^5+Assumptions!$B$32)/Assumptions!$B$33</f>
        <v>801.002362639336</v>
      </c>
    </row>
    <row r="6" customFormat="false" ht="15" hidden="false" customHeight="false" outlineLevel="0" collapsed="false">
      <c r="A6" s="24" t="n">
        <v>0.095</v>
      </c>
      <c r="B6" s="15" t="n">
        <f aca="false">(SUMPRODUCT(DCF!$C$18:$G$18,(1+$A6)^-DCF!$C$5:$G$5)+DCF!$G$18*(1+B$4)/($A6-B$4)/(1+$A6)^5+Assumptions!$B$32)/Assumptions!$B$33</f>
        <v>554.549809448984</v>
      </c>
      <c r="C6" s="15" t="n">
        <f aca="false">(SUMPRODUCT(DCF!$C$18:$G$18,(1+$A6)^-DCF!$C$5:$G$5)+DCF!$G$18*(1+C$4)/($A6-C$4)/(1+$A6)^5+Assumptions!$B$32)/Assumptions!$B$33</f>
        <v>579.770850194396</v>
      </c>
      <c r="D6" s="15" t="n">
        <f aca="false">(SUMPRODUCT(DCF!$C$18:$G$18,(1+$A6)^-DCF!$C$5:$G$5)+DCF!$G$18*(1+D$4)/($A6-D$4)/(1+$A6)^5+Assumptions!$B$32)/Assumptions!$B$33</f>
        <v>608.354696372529</v>
      </c>
      <c r="E6" s="15" t="n">
        <f aca="false">(SUMPRODUCT(DCF!$C$18:$G$18,(1+$A6)^-DCF!$C$5:$G$5)+DCF!$G$18*(1+E$4)/($A6-E$4)/(1+$A6)^5+Assumptions!$B$32)/Assumptions!$B$33</f>
        <v>641.021949147539</v>
      </c>
      <c r="F6" s="15" t="n">
        <f aca="false">(SUMPRODUCT(DCF!$C$18:$G$18,(1+$A6)^-DCF!$C$5:$G$5)+DCF!$G$18*(1+F$4)/($A6-F$4)/(1+$A6)^5+Assumptions!$B$32)/Assumptions!$B$33</f>
        <v>678.714933118704</v>
      </c>
    </row>
    <row r="7" customFormat="false" ht="15" hidden="false" customHeight="false" outlineLevel="0" collapsed="false">
      <c r="A7" s="24" t="n">
        <v>0.1076</v>
      </c>
      <c r="B7" s="15" t="n">
        <f aca="false">(SUMPRODUCT(DCF!$C$18:$G$18,(1+$A7)^-DCF!$C$5:$G$5)+DCF!$G$18*(1+B$4)/($A7-B$4)/(1+$A7)^5+Assumptions!$B$32)/Assumptions!$B$33</f>
        <v>483.069824811077</v>
      </c>
      <c r="C7" s="15" t="n">
        <f aca="false">(SUMPRODUCT(DCF!$C$18:$G$18,(1+$A7)^-DCF!$C$5:$G$5)+DCF!$G$18*(1+C$4)/($A7-C$4)/(1+$A7)^5+Assumptions!$B$32)/Assumptions!$B$33</f>
        <v>501.197236602871</v>
      </c>
      <c r="D7" s="15" t="n">
        <f aca="false">(SUMPRODUCT(DCF!$C$18:$G$18,(1+$A7)^-DCF!$C$5:$G$5)+DCF!$G$18*(1+D$4)/($A7-D$4)/(1+$A7)^5+Assumptions!$B$32)/Assumptions!$B$33</f>
        <v>521.393987640304</v>
      </c>
      <c r="E7" s="15" t="n">
        <f aca="false">(SUMPRODUCT(DCF!$C$18:$G$18,(1+$A7)^-DCF!$C$5:$G$5)+DCF!$G$18*(1+E$4)/($A7-E$4)/(1+$A7)^5+Assumptions!$B$32)/Assumptions!$B$33</f>
        <v>544.035865921978</v>
      </c>
      <c r="F7" s="15" t="n">
        <f aca="false">(SUMPRODUCT(DCF!$C$18:$G$18,(1+$A7)^-DCF!$C$5:$G$5)+DCF!$G$18*(1+F$4)/($A7-F$4)/(1+$A7)^5+Assumptions!$B$32)/Assumptions!$B$33</f>
        <v>569.595512023455</v>
      </c>
    </row>
    <row r="8" customFormat="false" ht="15" hidden="false" customHeight="false" outlineLevel="0" collapsed="false">
      <c r="A8" s="24" t="n">
        <v>0.115</v>
      </c>
      <c r="B8" s="15" t="n">
        <f aca="false">(SUMPRODUCT(DCF!$C$18:$G$18,(1+$A8)^-DCF!$C$5:$G$5)+DCF!$G$18*(1+B$4)/($A8-B$4)/(1+$A8)^5+Assumptions!$B$32)/Assumptions!$B$33</f>
        <v>449.132972138845</v>
      </c>
      <c r="C8" s="15" t="n">
        <f aca="false">(SUMPRODUCT(DCF!$C$18:$G$18,(1+$A8)^-DCF!$C$5:$G$5)+DCF!$G$18*(1+C$4)/($A8-C$4)/(1+$A8)^5+Assumptions!$B$32)/Assumptions!$B$33</f>
        <v>464.325835240468</v>
      </c>
      <c r="D8" s="15" t="n">
        <f aca="false">(SUMPRODUCT(DCF!$C$18:$G$18,(1+$A8)^-DCF!$C$5:$G$5)+DCF!$G$18*(1+D$4)/($A8-D$4)/(1+$A8)^5+Assumptions!$B$32)/Assumptions!$B$33</f>
        <v>481.11794708963</v>
      </c>
      <c r="E8" s="15" t="n">
        <f aca="false">(SUMPRODUCT(DCF!$C$18:$G$18,(1+$A8)^-DCF!$C$5:$G$5)+DCF!$G$18*(1+E$4)/($A8-E$4)/(1+$A8)^5+Assumptions!$B$32)/Assumptions!$B$33</f>
        <v>499.775849144255</v>
      </c>
      <c r="F8" s="15" t="n">
        <f aca="false">(SUMPRODUCT(DCF!$C$18:$G$18,(1+$A8)^-DCF!$C$5:$G$5)+DCF!$G$18*(1+F$4)/($A8-F$4)/(1+$A8)^5+Assumptions!$B$32)/Assumptions!$B$33</f>
        <v>520.628798499423</v>
      </c>
    </row>
    <row r="9" customFormat="false" ht="15" hidden="false" customHeight="false" outlineLevel="0" collapsed="false">
      <c r="A9" s="24" t="n">
        <v>0.125</v>
      </c>
      <c r="B9" s="15" t="n">
        <f aca="false">(SUMPRODUCT(DCF!$C$18:$G$18,(1+$A9)^-DCF!$C$5:$G$5)+DCF!$G$18*(1+B$4)/($A9-B$4)/(1+$A9)^5+Assumptions!$B$32)/Assumptions!$B$33</f>
        <v>410.259846385445</v>
      </c>
      <c r="C9" s="15" t="n">
        <f aca="false">(SUMPRODUCT(DCF!$C$18:$G$18,(1+$A9)^-DCF!$C$5:$G$5)+DCF!$G$18*(1+C$4)/($A9-C$4)/(1+$A9)^5+Assumptions!$B$32)/Assumptions!$B$33</f>
        <v>422.428086691885</v>
      </c>
      <c r="D9" s="15" t="n">
        <f aca="false">(SUMPRODUCT(DCF!$C$18:$G$18,(1+$A9)^-DCF!$C$5:$G$5)+DCF!$G$18*(1+D$4)/($A9-D$4)/(1+$A9)^5+Assumptions!$B$32)/Assumptions!$B$33</f>
        <v>435.75520702751</v>
      </c>
      <c r="E9" s="15" t="n">
        <f aca="false">(SUMPRODUCT(DCF!$C$18:$G$18,(1+$A9)^-DCF!$C$5:$G$5)+DCF!$G$18*(1+E$4)/($A9-E$4)/(1+$A9)^5+Assumptions!$B$32)/Assumptions!$B$33</f>
        <v>450.415039396698</v>
      </c>
      <c r="F9" s="15" t="n">
        <f aca="false">(SUMPRODUCT(DCF!$C$18:$G$18,(1+$A9)^-DCF!$C$5:$G$5)+DCF!$G$18*(1+F$4)/($A9-F$4)/(1+$A9)^5+Assumptions!$B$32)/Assumptions!$B$33</f>
        <v>466.618012015273</v>
      </c>
    </row>
    <row r="11" customFormat="false" ht="15" hidden="false" customHeight="false" outlineLevel="0" collapsed="false">
      <c r="A11" s="10" t="s">
        <v>116</v>
      </c>
      <c r="B11" s="15" t="n">
        <f aca="false">Assumptions!$B$34</f>
        <v>1379</v>
      </c>
    </row>
    <row r="12" customFormat="false" ht="15" hidden="false" customHeight="false" outlineLevel="0" collapsed="false">
      <c r="A12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</row>
    <row r="5" customFormat="false" ht="15" hidden="false" customHeight="false" outlineLevel="0" collapsed="false">
      <c r="A5" s="6" t="s">
        <v>125</v>
      </c>
      <c r="B5" s="26" t="n">
        <v>56.8</v>
      </c>
      <c r="C5" s="26" t="n">
        <v>16.7</v>
      </c>
      <c r="D5" s="26" t="n">
        <v>43.8</v>
      </c>
      <c r="E5" s="27" t="n">
        <v>589.2</v>
      </c>
    </row>
    <row r="6" customFormat="false" ht="15" hidden="false" customHeight="false" outlineLevel="0" collapsed="false">
      <c r="A6" s="6" t="s">
        <v>126</v>
      </c>
      <c r="B6" s="26" t="n">
        <v>53.7</v>
      </c>
      <c r="C6" s="26" t="n">
        <v>16.6</v>
      </c>
      <c r="D6" s="26" t="n">
        <v>45.7</v>
      </c>
      <c r="E6" s="27" t="n">
        <v>360</v>
      </c>
    </row>
    <row r="7" customFormat="false" ht="15" hidden="false" customHeight="false" outlineLevel="0" collapsed="false">
      <c r="A7" s="6" t="s">
        <v>127</v>
      </c>
      <c r="B7" s="26" t="n">
        <v>41.5</v>
      </c>
      <c r="C7" s="26" t="n">
        <v>11.5</v>
      </c>
      <c r="D7" s="26" t="n">
        <v>38.7</v>
      </c>
      <c r="E7" s="27" t="n">
        <v>325.6</v>
      </c>
    </row>
    <row r="8" customFormat="false" ht="15" hidden="false" customHeight="false" outlineLevel="0" collapsed="false">
      <c r="A8" s="6" t="s">
        <v>128</v>
      </c>
      <c r="B8" s="26" t="n">
        <v>49.6</v>
      </c>
      <c r="C8" s="26" t="n">
        <v>17.7</v>
      </c>
      <c r="D8" s="26" t="n">
        <v>40.8</v>
      </c>
      <c r="E8" s="27" t="n">
        <v>231.5</v>
      </c>
    </row>
    <row r="9" customFormat="false" ht="15" hidden="false" customHeight="false" outlineLevel="0" collapsed="false">
      <c r="A9" s="6" t="s">
        <v>129</v>
      </c>
      <c r="B9" s="28"/>
      <c r="C9" s="28"/>
      <c r="D9" s="28"/>
      <c r="E9" s="29"/>
    </row>
    <row r="10" customFormat="false" ht="15" hidden="false" customHeight="false" outlineLevel="0" collapsed="false">
      <c r="A10" s="6" t="s">
        <v>130</v>
      </c>
      <c r="B10" s="28"/>
      <c r="C10" s="28"/>
      <c r="D10" s="28"/>
      <c r="E10" s="29"/>
    </row>
    <row r="12" customFormat="false" ht="15" hidden="false" customHeight="false" outlineLevel="0" collapsed="false">
      <c r="A12" s="10" t="s">
        <v>131</v>
      </c>
    </row>
    <row r="13" customFormat="false" ht="15" hidden="false" customHeight="false" outlineLevel="0" collapsed="false">
      <c r="A13" s="6" t="s">
        <v>132</v>
      </c>
      <c r="B13" s="30" t="n">
        <f aca="false">(Assumptions!$B$26-Assumptions!$B$32)/(DCF!C11+DCF!C15)</f>
        <v>27.2789066747029</v>
      </c>
    </row>
    <row r="14" customFormat="false" ht="15" hidden="false" customHeight="false" outlineLevel="0" collapsed="false">
      <c r="A14" s="6" t="s">
        <v>133</v>
      </c>
      <c r="B14" s="30" t="n">
        <f aca="false">(Assumptions!$B$26-Assumptions!$B$32)/DCF!C6</f>
        <v>11.8333863636364</v>
      </c>
    </row>
    <row r="16" customFormat="false" ht="15" hidden="false" customHeight="false" outlineLevel="0" collapsed="false">
      <c r="A16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6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" t="s">
        <v>135</v>
      </c>
    </row>
    <row r="3" customFormat="false" ht="15" hidden="false" customHeight="false" outlineLevel="0" collapsed="false">
      <c r="A3" s="3" t="s">
        <v>136</v>
      </c>
      <c r="B3" s="3" t="s">
        <v>3</v>
      </c>
      <c r="C3" s="3" t="s">
        <v>137</v>
      </c>
      <c r="D3" s="3" t="s">
        <v>138</v>
      </c>
    </row>
    <row r="4" customFormat="false" ht="15" hidden="false" customHeight="false" outlineLevel="0" collapsed="false">
      <c r="A4" s="31" t="s">
        <v>139</v>
      </c>
      <c r="B4" s="32" t="s">
        <v>140</v>
      </c>
      <c r="C4" s="33" t="s">
        <v>141</v>
      </c>
      <c r="D4" s="31" t="s">
        <v>142</v>
      </c>
    </row>
    <row r="5" customFormat="false" ht="15" hidden="false" customHeight="false" outlineLevel="0" collapsed="false">
      <c r="A5" s="31" t="s">
        <v>143</v>
      </c>
      <c r="B5" s="32" t="s">
        <v>144</v>
      </c>
      <c r="C5" s="33" t="s">
        <v>145</v>
      </c>
      <c r="D5" s="31" t="s">
        <v>142</v>
      </c>
    </row>
    <row r="6" customFormat="false" ht="15" hidden="false" customHeight="false" outlineLevel="0" collapsed="false">
      <c r="A6" s="31" t="s">
        <v>146</v>
      </c>
      <c r="B6" s="32" t="s">
        <v>147</v>
      </c>
      <c r="C6" s="33" t="s">
        <v>145</v>
      </c>
      <c r="D6" s="31" t="s">
        <v>142</v>
      </c>
    </row>
    <row r="7" customFormat="false" ht="15" hidden="false" customHeight="false" outlineLevel="0" collapsed="false">
      <c r="A7" s="31" t="s">
        <v>148</v>
      </c>
      <c r="B7" s="32" t="s">
        <v>149</v>
      </c>
      <c r="C7" s="33" t="s">
        <v>150</v>
      </c>
      <c r="D7" s="31" t="s">
        <v>142</v>
      </c>
    </row>
    <row r="8" customFormat="false" ht="15" hidden="false" customHeight="false" outlineLevel="0" collapsed="false">
      <c r="A8" s="31" t="s">
        <v>151</v>
      </c>
      <c r="B8" s="32" t="s">
        <v>152</v>
      </c>
      <c r="C8" s="33" t="s">
        <v>150</v>
      </c>
      <c r="D8" s="31" t="s">
        <v>142</v>
      </c>
    </row>
    <row r="9" customFormat="false" ht="15" hidden="false" customHeight="false" outlineLevel="0" collapsed="false">
      <c r="A9" s="31" t="s">
        <v>153</v>
      </c>
      <c r="B9" s="32" t="s">
        <v>154</v>
      </c>
      <c r="C9" s="33" t="s">
        <v>155</v>
      </c>
      <c r="D9" s="31" t="s">
        <v>156</v>
      </c>
    </row>
    <row r="10" customFormat="false" ht="15" hidden="false" customHeight="false" outlineLevel="0" collapsed="false">
      <c r="A10" s="31" t="s">
        <v>157</v>
      </c>
      <c r="B10" s="32" t="s">
        <v>158</v>
      </c>
      <c r="C10" s="33" t="s">
        <v>155</v>
      </c>
      <c r="D10" s="31" t="s">
        <v>156</v>
      </c>
    </row>
    <row r="11" customFormat="false" ht="15" hidden="false" customHeight="false" outlineLevel="0" collapsed="false">
      <c r="A11" s="31" t="s">
        <v>159</v>
      </c>
      <c r="B11" s="32" t="s">
        <v>160</v>
      </c>
      <c r="C11" s="33" t="s">
        <v>161</v>
      </c>
      <c r="D11" s="31" t="s">
        <v>162</v>
      </c>
    </row>
    <row r="12" customFormat="false" ht="15" hidden="false" customHeight="false" outlineLevel="0" collapsed="false">
      <c r="A12" s="31" t="s">
        <v>163</v>
      </c>
      <c r="B12" s="32" t="s">
        <v>164</v>
      </c>
      <c r="C12" s="33" t="s">
        <v>165</v>
      </c>
      <c r="D12" s="31" t="s">
        <v>166</v>
      </c>
    </row>
    <row r="13" customFormat="false" ht="15" hidden="false" customHeight="false" outlineLevel="0" collapsed="false">
      <c r="A13" s="31" t="s">
        <v>167</v>
      </c>
      <c r="B13" s="32" t="s">
        <v>168</v>
      </c>
      <c r="C13" s="33" t="s">
        <v>169</v>
      </c>
      <c r="D13" s="31" t="s">
        <v>170</v>
      </c>
    </row>
    <row r="14" customFormat="false" ht="15" hidden="false" customHeight="false" outlineLevel="0" collapsed="false">
      <c r="A14" s="31" t="s">
        <v>171</v>
      </c>
      <c r="B14" s="32" t="s">
        <v>172</v>
      </c>
      <c r="C14" s="33" t="s">
        <v>169</v>
      </c>
      <c r="D14" s="31" t="s">
        <v>170</v>
      </c>
    </row>
    <row r="15" customFormat="false" ht="15" hidden="false" customHeight="false" outlineLevel="0" collapsed="false">
      <c r="A15" s="31" t="s">
        <v>173</v>
      </c>
      <c r="B15" s="32" t="s">
        <v>174</v>
      </c>
      <c r="C15" s="33" t="s">
        <v>169</v>
      </c>
      <c r="D15" s="31" t="s">
        <v>170</v>
      </c>
    </row>
    <row r="16" customFormat="false" ht="15" hidden="false" customHeight="false" outlineLevel="0" collapsed="false">
      <c r="A16" s="31" t="s">
        <v>175</v>
      </c>
      <c r="B16" s="32" t="s">
        <v>176</v>
      </c>
      <c r="C16" s="33" t="s">
        <v>177</v>
      </c>
      <c r="D16" s="31" t="s">
        <v>178</v>
      </c>
    </row>
    <row r="17" customFormat="false" ht="15" hidden="false" customHeight="false" outlineLevel="0" collapsed="false">
      <c r="A17" s="31" t="s">
        <v>179</v>
      </c>
      <c r="B17" s="32" t="s">
        <v>180</v>
      </c>
      <c r="C17" s="33" t="s">
        <v>181</v>
      </c>
      <c r="D17" s="31" t="s">
        <v>178</v>
      </c>
    </row>
    <row r="18" customFormat="false" ht="15" hidden="false" customHeight="false" outlineLevel="0" collapsed="false">
      <c r="A18" s="31" t="s">
        <v>182</v>
      </c>
      <c r="B18" s="32" t="s">
        <v>183</v>
      </c>
      <c r="C18" s="33" t="s">
        <v>184</v>
      </c>
      <c r="D18" s="31" t="s">
        <v>178</v>
      </c>
    </row>
    <row r="19" customFormat="false" ht="15" hidden="false" customHeight="false" outlineLevel="0" collapsed="false">
      <c r="A19" s="31" t="s">
        <v>38</v>
      </c>
      <c r="B19" s="32" t="s">
        <v>185</v>
      </c>
      <c r="C19" s="33" t="s">
        <v>186</v>
      </c>
      <c r="D19" s="31" t="s">
        <v>178</v>
      </c>
    </row>
    <row r="20" customFormat="false" ht="15" hidden="false" customHeight="false" outlineLevel="0" collapsed="false">
      <c r="A20" s="31" t="s">
        <v>36</v>
      </c>
      <c r="B20" s="32" t="s">
        <v>187</v>
      </c>
      <c r="C20" s="33" t="s">
        <v>188</v>
      </c>
      <c r="D20" s="31" t="s">
        <v>189</v>
      </c>
    </row>
    <row r="21" customFormat="false" ht="15" hidden="false" customHeight="false" outlineLevel="0" collapsed="false">
      <c r="A21" s="31" t="s">
        <v>190</v>
      </c>
      <c r="B21" s="32" t="s">
        <v>191</v>
      </c>
      <c r="C21" s="33" t="s">
        <v>192</v>
      </c>
      <c r="D21" s="31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2026-09-15T23:11:17Z</dcterms:created>
  <dc:creator>openpyxl</dc:creator>
  <dc:description/>
  <dc:language>en-US</dc:language>
  <cp:lastModifiedBy/>
  <dcterms:modified xsi:type="dcterms:W3CDTF">2026-09-15T23:11:17Z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